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F:\DOCUMENTATIONS\EV-battery-packs\Docs\"/>
    </mc:Choice>
  </mc:AlternateContent>
  <xr:revisionPtr revIDLastSave="0" documentId="13_ncr:1_{332A6172-B2A6-47FA-907A-4B9BB9EA2084}" xr6:coauthVersionLast="47" xr6:coauthVersionMax="47" xr10:uidLastSave="{00000000-0000-0000-0000-000000000000}"/>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schedule'!$R$2</definedName>
    <definedName name="_xlnm.Print_Titles" localSheetId="0">'Project schedule'!$4:$6</definedName>
    <definedName name="Project_Start">'Project schedule'!$R$1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11" l="1"/>
  <c r="E33" i="11"/>
  <c r="F32" i="11"/>
  <c r="F31" i="11"/>
  <c r="E32" i="11"/>
  <c r="E31" i="11"/>
  <c r="F30" i="11"/>
  <c r="E30" i="11"/>
  <c r="F29" i="11"/>
  <c r="E29" i="11"/>
  <c r="F28" i="11"/>
  <c r="E28" i="11"/>
  <c r="F27" i="11"/>
  <c r="E27" i="11"/>
  <c r="F25" i="11"/>
  <c r="E25" i="11"/>
  <c r="F24" i="11"/>
  <c r="E24" i="11"/>
  <c r="F23" i="11"/>
  <c r="E23" i="11"/>
  <c r="F22" i="11"/>
  <c r="E22" i="11"/>
  <c r="F21" i="11"/>
  <c r="E21" i="11"/>
  <c r="F20" i="11"/>
  <c r="E20" i="11"/>
  <c r="F19" i="11"/>
  <c r="E19" i="11"/>
  <c r="F18" i="11"/>
  <c r="E18" i="11"/>
  <c r="F17" i="11"/>
  <c r="E17" i="11"/>
  <c r="F16" i="11"/>
  <c r="E16" i="11"/>
  <c r="F15" i="11"/>
  <c r="E15" i="11"/>
  <c r="F13" i="11"/>
  <c r="E13" i="11"/>
  <c r="F12" i="11"/>
  <c r="E12" i="11"/>
  <c r="F11" i="11"/>
  <c r="E11" i="11"/>
  <c r="F10" i="11"/>
  <c r="E10" i="11"/>
  <c r="F9" i="11"/>
  <c r="R1" i="11"/>
  <c r="E9" i="11" s="1"/>
  <c r="I7" i="11"/>
  <c r="J5" i="11" l="1"/>
  <c r="I41" i="11"/>
  <c r="I40" i="11"/>
  <c r="I34" i="11"/>
  <c r="I26" i="11"/>
  <c r="I14" i="11"/>
  <c r="I8" i="11"/>
  <c r="I27" i="11" l="1"/>
  <c r="I28" i="11"/>
  <c r="I9" i="11"/>
  <c r="J6" i="11"/>
  <c r="I39" i="11" l="1"/>
  <c r="I38" i="11"/>
  <c r="I35" i="11"/>
  <c r="I31" i="11"/>
  <c r="I10" i="11"/>
  <c r="I29" i="11"/>
  <c r="I15" i="11"/>
  <c r="I13" i="11"/>
  <c r="K5" i="11"/>
  <c r="L5" i="11" s="1"/>
  <c r="M5" i="11" s="1"/>
  <c r="N5" i="11" s="1"/>
  <c r="O5" i="11" s="1"/>
  <c r="P5" i="11" s="1"/>
  <c r="Q5" i="11" s="1"/>
  <c r="J4" i="11"/>
  <c r="I36" i="11" l="1"/>
  <c r="I37" i="11"/>
  <c r="I30" i="11"/>
  <c r="I16" i="11"/>
  <c r="I11" i="11"/>
  <c r="I12" i="11"/>
  <c r="Q4" i="11"/>
  <c r="R5" i="11"/>
  <c r="S5" i="11" s="1"/>
  <c r="T5" i="11" s="1"/>
  <c r="U5" i="11" s="1"/>
  <c r="V5" i="11" s="1"/>
  <c r="W5" i="11" s="1"/>
  <c r="X5" i="11" s="1"/>
  <c r="K6" i="11"/>
  <c r="I23" i="11" l="1"/>
  <c r="I18" i="11"/>
  <c r="I17" i="11"/>
  <c r="X4" i="11"/>
  <c r="Y5" i="11"/>
  <c r="Z5" i="11" s="1"/>
  <c r="AA5" i="11" s="1"/>
  <c r="AB5" i="11" s="1"/>
  <c r="AC5" i="11" s="1"/>
  <c r="AD5" i="11" s="1"/>
  <c r="AE5" i="11" s="1"/>
  <c r="L6" i="11"/>
  <c r="AF5" i="11" l="1"/>
  <c r="AG5" i="11" s="1"/>
  <c r="AH5" i="11" s="1"/>
  <c r="AI5" i="11" s="1"/>
  <c r="AJ5" i="11" s="1"/>
  <c r="AK5" i="11" s="1"/>
  <c r="AE4" i="11"/>
  <c r="M6" i="11"/>
  <c r="AL5" i="11" l="1"/>
  <c r="AM5" i="11" s="1"/>
  <c r="AN5" i="11" s="1"/>
  <c r="AO5" i="11" s="1"/>
  <c r="AP5" i="11" s="1"/>
  <c r="AQ5" i="11" s="1"/>
  <c r="AR5" i="11" s="1"/>
  <c r="N6" i="11"/>
  <c r="AS5" i="11" l="1"/>
  <c r="AT5" i="11" s="1"/>
  <c r="AL4" i="11"/>
  <c r="O6" i="11"/>
  <c r="AU5" i="11" l="1"/>
  <c r="AT6" i="11"/>
  <c r="AS4" i="11"/>
  <c r="P6" i="11"/>
  <c r="AV5" i="11" l="1"/>
  <c r="AU6" i="11"/>
  <c r="AW5" i="11" l="1"/>
  <c r="AV6" i="11"/>
  <c r="Q6" i="11"/>
  <c r="R6" i="11"/>
  <c r="AX5" i="11" l="1"/>
  <c r="AW6" i="11"/>
  <c r="S6" i="11"/>
  <c r="AY5" i="11" l="1"/>
  <c r="AZ5" i="11" s="1"/>
  <c r="AX6" i="11"/>
  <c r="T6" i="11"/>
  <c r="AZ6" i="11" l="1"/>
  <c r="BA5" i="11"/>
  <c r="AZ4" i="11"/>
  <c r="AY6" i="11"/>
  <c r="U6" i="11"/>
  <c r="BB5" i="11" l="1"/>
  <c r="BA6" i="11"/>
  <c r="V6" i="11"/>
  <c r="BB6" i="11" l="1"/>
  <c r="BC5" i="11"/>
  <c r="W6" i="11"/>
  <c r="BC6" i="11" l="1"/>
  <c r="BD5" i="11"/>
  <c r="X6" i="11"/>
  <c r="BD6" i="11" l="1"/>
  <c r="BE5" i="11"/>
  <c r="Y6" i="11"/>
  <c r="BF5" i="11" l="1"/>
  <c r="BE6" i="11"/>
  <c r="Z6" i="11"/>
  <c r="BF6" i="11" l="1"/>
  <c r="BG5" i="11"/>
  <c r="AA6" i="11"/>
  <c r="BG6" i="11" l="1"/>
  <c r="BH5" i="11"/>
  <c r="BG4" i="11"/>
  <c r="AB6" i="11"/>
  <c r="BH6" i="11" l="1"/>
  <c r="BI5" i="11"/>
  <c r="AC6" i="11"/>
  <c r="BJ5" i="11" l="1"/>
  <c r="BI6" i="11"/>
  <c r="AD6" i="11"/>
  <c r="BK5" i="11" l="1"/>
  <c r="BJ6" i="11"/>
  <c r="AE6" i="11"/>
  <c r="BL5" i="11" l="1"/>
  <c r="BK6" i="11"/>
  <c r="AF6" i="11"/>
  <c r="BM5" i="11" l="1"/>
  <c r="BL6" i="11"/>
  <c r="AG6" i="11"/>
  <c r="BM6" i="11" l="1"/>
  <c r="AH6" i="11"/>
  <c r="AI6" i="11" l="1"/>
  <c r="AJ6" i="11" l="1"/>
  <c r="AK6" i="11" l="1"/>
  <c r="AL6" i="11" l="1"/>
  <c r="AM6" i="11" l="1"/>
  <c r="AN6" i="11" l="1"/>
  <c r="AO6" i="11" l="1"/>
  <c r="AP6" i="11" l="1"/>
  <c r="AQ6" i="11" l="1"/>
  <c r="AR6" i="11" l="1"/>
  <c r="AS6" i="11" l="1"/>
</calcChain>
</file>

<file path=xl/sharedStrings.xml><?xml version="1.0" encoding="utf-8"?>
<sst xmlns="http://schemas.openxmlformats.org/spreadsheetml/2006/main" count="104" uniqueCount="78">
  <si>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</si>
  <si>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</si>
  <si>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</si>
  <si>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</si>
  <si>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</si>
  <si>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</si>
  <si>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</si>
  <si>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</si>
  <si>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</si>
  <si>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</si>
  <si>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</si>
  <si>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</si>
  <si>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</si>
  <si>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</si>
  <si>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</si>
  <si>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</si>
  <si>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</si>
  <si>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</si>
  <si>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</si>
  <si>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</si>
  <si>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</si>
  <si>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</si>
  <si>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</si>
  <si>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Evaluation</t>
  </si>
  <si>
    <t>REMARK</t>
  </si>
  <si>
    <t>DLOK NETWORKS PVT. LTD</t>
  </si>
  <si>
    <t>Battery Packs project</t>
  </si>
  <si>
    <t>Phase 1: Sourcing, Cost Analysis &amp; Benchmarking</t>
  </si>
  <si>
    <t>Ayushman Sahoo</t>
  </si>
  <si>
    <t>BOM &amp; Raw Material Listing</t>
  </si>
  <si>
    <t>Street Light Battery Audit &amp; Teardown</t>
  </si>
  <si>
    <t>Vendor Negotitation &amp; Cost Estimation</t>
  </si>
  <si>
    <t>Initial component and specification list completed.</t>
  </si>
  <si>
    <t>Discovered specification discrepancy (labeled 24Ah vs. 18Ah actual capacity).</t>
  </si>
  <si>
    <t>Procurement &amp; Payment Processing</t>
  </si>
  <si>
    <t>Price fluctuations, component stockouts across 12–15 suppliers, and deferred management sign-off.</t>
  </si>
  <si>
    <t>Internal fund disbursement lead-time and executive sign-off availability.</t>
  </si>
  <si>
    <t>Material Delivery &amp; Lab Space Setup</t>
  </si>
  <si>
    <t>Supplier logistics lead-time and delayed workshop/lab space allocation.</t>
  </si>
  <si>
    <t>3D CAD Modeling of Battery Pack</t>
  </si>
  <si>
    <t>Cell layout and pack dimensioning completed on schedule.</t>
  </si>
  <si>
    <t>Cell Holder Structural Fabrication</t>
  </si>
  <si>
    <t>Frame grid assembly completed.</t>
  </si>
  <si>
    <t>Module 1 Spot Welding (16S Matrix)</t>
  </si>
  <si>
    <t>Primary nickel strip interconnect welding completed.</t>
  </si>
  <si>
    <t>Module 2 Welding &amp; BMS Wiring</t>
  </si>
  <si>
    <t>Secondary stack welding and BMS balance harness soldered.</t>
  </si>
  <si>
    <t>Fiber Insulation &amp; Heat-Shrink Wrap</t>
  </si>
  <si>
    <t>Primary electrical safety barrier and thermal wrap completed.</t>
  </si>
  <si>
    <t>Enclosure Dimensional Benchmarking</t>
  </si>
  <si>
    <t>Physical measurements completed for outer housing.</t>
  </si>
  <si>
    <t>Outer Metal Box CAD Design</t>
  </si>
  <si>
    <t>Metal housing blueprints finalized for fabrication.</t>
  </si>
  <si>
    <t>Connector Assembly &amp; Bench Test</t>
  </si>
  <si>
    <t>High-current power connectors wired; initial vehicle bench test passed.</t>
  </si>
  <si>
    <t>Outer Metal Box Fabrication</t>
  </si>
  <si>
    <t>Workshop technician bandwidth constraints due to parallel tasks.</t>
  </si>
  <si>
    <t>Vehicle Installation &amp; Charging</t>
  </si>
  <si>
    <t>Installed in vehicle and charged to full 67.2V capacity.</t>
  </si>
  <si>
    <t>Road Endurance &amp; Range Test (100–0%)</t>
  </si>
  <si>
    <t>Successfully validated 85.8 km total range with 641m elevation gain.</t>
  </si>
  <si>
    <t>Phase 2: Project 1 — 16S 35Ah NMC Battery Pack Build</t>
  </si>
  <si>
    <t>Gobardhan Bhai</t>
  </si>
  <si>
    <t>Phase 3: Project 2 — Solar Street Light Battery Development</t>
  </si>
  <si>
    <t>Secondary Fixture Power Audit</t>
  </si>
  <si>
    <t>Solar Light Sourcing &amp; Quotations</t>
  </si>
  <si>
    <t>Material Order for Solar Pack</t>
  </si>
  <si>
    <t>In-Transit Material Shipment Lead Time</t>
  </si>
  <si>
    <t>Identified driver power scaling (16.6W actual vs. 45W advertised rating).</t>
  </si>
  <si>
    <t>Evaluated 6 wholesale suppliers for semi-integrated fixture components.</t>
  </si>
  <si>
    <t>Procurement purchase order submitted to vendor.</t>
  </si>
  <si>
    <t>Supplier transit lead-time; delivery expected on or before Aug 25.</t>
  </si>
  <si>
    <t>Cell Inspection &amp; Quality Audit</t>
  </si>
  <si>
    <t>Inspected physical cell integrity, baseline voltages, and internal resistance.</t>
  </si>
  <si>
    <t>Matched cell capacities and spot-welded four parallel 6P sub-pack modules.</t>
  </si>
  <si>
    <t>Welded 4S series connections, wired TDT BMS &amp; power leads, and completed PVC heat shrink wrap.</t>
  </si>
  <si>
    <t>Cell Grouping &amp; 6P Sub-Pack Spot Welding</t>
  </si>
  <si>
    <t>4S Series Welding, BMS Wiring &amp; Heat Shrink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</si>
</sst>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34"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sz val="9"/>
      <color theme="1"/>
      <name val="Arial"/>
      <family val="2"/>
      <scheme val="minor"/>
    </font>
    <font>
      <sz val="8"/>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8">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21" fillId="12" borderId="20" xfId="0" applyNumberFormat="1" applyFont="1" applyFill="1" applyBorder="1" applyAlignment="1">
      <alignment horizontal="center" vertical="center"/>
    </xf>
    <xf numFmtId="168" fontId="21" fillId="12" borderId="18" xfId="0" applyNumberFormat="1" applyFont="1" applyFill="1" applyBorder="1" applyAlignment="1">
      <alignment horizontal="center" vertical="center"/>
    </xf>
    <xf numFmtId="168"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5" fontId="19"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5" fontId="19" fillId="3" borderId="6" xfId="10" applyFont="1" applyFill="1" applyBorder="1">
      <alignment horizontal="center" vertical="center"/>
    </xf>
    <xf numFmtId="0" fontId="4" fillId="0" borderId="4" xfId="0" applyFont="1" applyBorder="1" applyAlignment="1">
      <alignment vertical="center"/>
    </xf>
    <xf numFmtId="9" fontId="1" fillId="3" borderId="7" xfId="2" applyFont="1" applyFill="1" applyBorder="1" applyAlignment="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5" fontId="19"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5"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5" fontId="19"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5"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5" fontId="19" fillId="9" borderId="0" xfId="0" applyNumberFormat="1" applyFont="1" applyFill="1" applyAlignment="1">
      <alignment horizontal="center" vertical="center"/>
    </xf>
    <xf numFmtId="165"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5"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5"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5" fontId="25"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9" fillId="3" borderId="6" xfId="12" applyFont="1" applyFill="1" applyBorder="1" applyAlignment="1">
      <alignment horizontal="left" vertical="center" wrapText="1" indent="2"/>
    </xf>
    <xf numFmtId="165" fontId="32" fillId="3" borderId="0" xfId="10" applyFont="1" applyFill="1" applyBorder="1" applyAlignment="1">
      <alignment horizontal="center" vertical="center" wrapText="1"/>
    </xf>
    <xf numFmtId="9" fontId="4" fillId="0" borderId="0" xfId="0" applyNumberFormat="1" applyFont="1" applyAlignment="1">
      <alignment vertical="center"/>
    </xf>
    <xf numFmtId="14" fontId="4" fillId="0" borderId="0" xfId="0" applyNumberFormat="1" applyFont="1" applyAlignment="1">
      <alignment vertical="center"/>
    </xf>
    <xf numFmtId="0" fontId="19" fillId="4" borderId="5" xfId="12" applyFont="1" applyFill="1" applyBorder="1" applyAlignment="1">
      <alignment horizontal="left" vertical="center" wrapText="1" indent="2"/>
    </xf>
    <xf numFmtId="165" fontId="32" fillId="4" borderId="0" xfId="10" applyFont="1" applyFill="1" applyBorder="1" applyAlignment="1">
      <alignment horizontal="center" vertical="center" wrapText="1"/>
    </xf>
    <xf numFmtId="0" fontId="19" fillId="4" borderId="0" xfId="12" applyFont="1" applyFill="1" applyBorder="1" applyAlignment="1">
      <alignment horizontal="left" vertical="center" wrapText="1" indent="2"/>
    </xf>
    <xf numFmtId="0" fontId="19" fillId="4" borderId="0" xfId="11" applyFont="1" applyFill="1" applyBorder="1" applyAlignment="1">
      <alignment vertical="center"/>
    </xf>
    <xf numFmtId="9" fontId="1" fillId="4" borderId="0" xfId="2" applyFont="1" applyFill="1" applyBorder="1" applyAlignment="1">
      <alignment horizontal="center" vertical="center"/>
    </xf>
    <xf numFmtId="0" fontId="19" fillId="5" borderId="8" xfId="12" applyFont="1" applyFill="1" applyBorder="1" applyAlignment="1">
      <alignment horizontal="left" vertical="center" wrapText="1" indent="2"/>
    </xf>
    <xf numFmtId="165" fontId="32" fillId="5" borderId="0" xfId="10" applyFont="1" applyFill="1" applyBorder="1" applyAlignment="1">
      <alignment horizontal="center" vertical="center" wrapText="1"/>
    </xf>
    <xf numFmtId="0" fontId="19" fillId="10" borderId="9" xfId="12" applyFont="1" applyFill="1" applyBorder="1" applyAlignment="1">
      <alignment horizontal="left" vertical="center" wrapText="1" indent="2"/>
    </xf>
    <xf numFmtId="165" fontId="32" fillId="10" borderId="0" xfId="10" applyFont="1" applyFill="1" applyBorder="1" applyAlignment="1">
      <alignment horizontal="center" vertical="center" wrapText="1"/>
    </xf>
    <xf numFmtId="0" fontId="20" fillId="11" borderId="16" xfId="0" applyFont="1" applyFill="1" applyBorder="1" applyAlignment="1">
      <alignment horizontal="center" vertical="center"/>
    </xf>
    <xf numFmtId="0" fontId="20" fillId="11" borderId="21" xfId="0" applyFont="1" applyFill="1" applyBorder="1" applyAlignment="1">
      <alignment horizontal="center" vertical="center"/>
    </xf>
    <xf numFmtId="0" fontId="26" fillId="0" borderId="0" xfId="6" applyFont="1" applyAlignment="1">
      <alignment horizontal="center" vertical="center" wrapText="1"/>
    </xf>
    <xf numFmtId="167" fontId="19" fillId="2" borderId="13" xfId="0" applyNumberFormat="1" applyFont="1" applyFill="1" applyBorder="1" applyAlignment="1">
      <alignment horizontal="center" vertical="center" wrapText="1"/>
    </xf>
    <xf numFmtId="167" fontId="19" fillId="2" borderId="19" xfId="0" applyNumberFormat="1" applyFont="1" applyFill="1" applyBorder="1" applyAlignment="1">
      <alignment horizontal="center" vertical="center" wrapText="1"/>
    </xf>
    <xf numFmtId="167" fontId="19" fillId="2" borderId="18" xfId="0" applyNumberFormat="1" applyFont="1" applyFill="1" applyBorder="1" applyAlignment="1">
      <alignment horizontal="center" vertical="center" wrapText="1"/>
    </xf>
    <xf numFmtId="0" fontId="27" fillId="0" borderId="0" xfId="0" applyFont="1" applyAlignment="1">
      <alignment horizontal="left"/>
    </xf>
    <xf numFmtId="0" fontId="28" fillId="0" borderId="0" xfId="0" applyFont="1"/>
    <xf numFmtId="166" fontId="27" fillId="0" borderId="0" xfId="9" applyFont="1" applyBorder="1" applyAlignment="1">
      <alignment horizontal="left"/>
    </xf>
    <xf numFmtId="0" fontId="26" fillId="0" borderId="0" xfId="8" applyFont="1" applyAlignment="1">
      <alignment horizontal="left"/>
    </xf>
    <xf numFmtId="0" fontId="4" fillId="0" borderId="0" xfId="0" applyFont="1"/>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19" fillId="5" borderId="0" xfId="12" applyFont="1" applyFill="1" applyBorder="1" applyAlignment="1">
      <alignment horizontal="left" vertical="center" wrapText="1" indent="2"/>
    </xf>
    <xf numFmtId="9" fontId="1" fillId="5" borderId="0" xfId="2" applyFont="1" applyFill="1" applyBorder="1" applyAlignment="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trlProps/ctrlProp1.xml><?xml version="1.0" encoding="utf-8"?>
<formControlPr xmlns="http://schemas.microsoft.com/office/spreadsheetml/2009/9/main" objectType="Scroll" dx="26" fmlaLink="$R$2" horiz="1" max="10" min="1" page="0" val="8"/>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21</xdr:col>
          <xdr:colOff>53340</xdr:colOff>
          <xdr:row>1</xdr:row>
          <xdr:rowOff>38100</xdr:rowOff>
        </xdr:from>
        <xdr:to>
          <xdr:col>42</xdr:col>
          <xdr:colOff>144780</xdr:colOff>
          <xdr:row>1</xdr:row>
          <xdr:rowOff>350520</xdr:rowOff>
        </xdr:to>
        <xdr:sp macro="" textlink="">
          <xdr:nvSpPr>
            <xdr:cNvPr id="2049" name="Scroll Bar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3</xdr:col>
      <xdr:colOff>739140</xdr:colOff>
      <xdr:row>1</xdr:row>
      <xdr:rowOff>99060</xdr:rowOff>
    </xdr:from>
    <xdr:to>
      <xdr:col>6</xdr:col>
      <xdr:colOff>444649</xdr:colOff>
      <xdr:row>3</xdr:row>
      <xdr:rowOff>52816</xdr:rowOff>
    </xdr:to>
    <xdr:pic>
      <xdr:nvPicPr>
        <xdr:cNvPr id="3" name="Picture 2" descr="DLOKNETWORKS PRIVATE LIMITED">
          <a:extLst>
            <a:ext uri="{FF2B5EF4-FFF2-40B4-BE49-F238E27FC236}">
              <a16:creationId xmlns:a16="http://schemas.microsoft.com/office/drawing/2014/main" id="{7AA3B2EC-1B63-41CB-BDB6-FB30B2F158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47160" y="1242060"/>
          <a:ext cx="2151529" cy="715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W44"/>
  <sheetViews>
    <sheetView showGridLines="0" tabSelected="1" showRuler="0" topLeftCell="A25" zoomScale="89" zoomScaleNormal="89" zoomScalePageLayoutView="70" workbookViewId="0">
      <selection activeCell="O34" sqref="O34"/>
    </sheetView>
  </sheetViews>
  <sheetFormatPr defaultColWidth="8.69921875" defaultRowHeight="30" customHeight="1" x14ac:dyDescent="0.25"/>
  <cols>
    <col min="1" max="1" width="2.69921875" style="13" customWidth="1"/>
    <col min="2" max="2" width="22.69921875" customWidth="1"/>
    <col min="3" max="3" width="16.69921875" customWidth="1"/>
    <col min="4" max="4" width="10.69921875" customWidth="1"/>
    <col min="5" max="5" width="10.69921875" style="2" customWidth="1"/>
    <col min="6" max="6" width="10.69921875" customWidth="1"/>
    <col min="7" max="7" width="36.59765625" customWidth="1"/>
    <col min="8" max="8" width="2.69921875" customWidth="1"/>
    <col min="9" max="9" width="6" hidden="1" customWidth="1"/>
    <col min="10" max="66" width="2.69921875" customWidth="1"/>
  </cols>
  <sheetData>
    <row r="1" spans="1:75" ht="90" customHeight="1" x14ac:dyDescent="1.45">
      <c r="A1" s="14"/>
      <c r="B1" s="89" t="s">
        <v>26</v>
      </c>
      <c r="C1" s="18"/>
      <c r="D1" s="19"/>
      <c r="E1" s="20"/>
      <c r="F1" s="21"/>
      <c r="G1" s="21"/>
      <c r="I1" s="1"/>
      <c r="J1" s="119" t="s">
        <v>20</v>
      </c>
      <c r="K1" s="120"/>
      <c r="L1" s="120"/>
      <c r="M1" s="120"/>
      <c r="N1" s="120"/>
      <c r="O1" s="120"/>
      <c r="P1" s="120"/>
      <c r="Q1" s="24"/>
      <c r="R1" s="118">
        <f>DATE(2026,6,12)</f>
        <v>46185</v>
      </c>
      <c r="S1" s="117"/>
      <c r="T1" s="117"/>
      <c r="U1" s="117"/>
      <c r="V1" s="117"/>
      <c r="W1" s="117"/>
      <c r="X1" s="117"/>
      <c r="Y1" s="117"/>
      <c r="Z1" s="117"/>
      <c r="AA1" s="117"/>
    </row>
    <row r="2" spans="1:75" ht="30" customHeight="1" x14ac:dyDescent="0.6">
      <c r="B2" s="112" t="s">
        <v>25</v>
      </c>
      <c r="C2" s="112"/>
      <c r="D2" s="22"/>
      <c r="E2" s="23"/>
      <c r="F2" s="22"/>
      <c r="G2" s="22"/>
      <c r="J2" s="119" t="s">
        <v>21</v>
      </c>
      <c r="K2" s="120"/>
      <c r="L2" s="120"/>
      <c r="M2" s="120"/>
      <c r="N2" s="120"/>
      <c r="O2" s="120"/>
      <c r="P2" s="120"/>
      <c r="Q2" s="24"/>
      <c r="R2" s="116">
        <v>8</v>
      </c>
      <c r="S2" s="117"/>
      <c r="T2" s="117"/>
      <c r="U2" s="117"/>
      <c r="V2" s="117"/>
      <c r="W2" s="117"/>
      <c r="X2" s="117"/>
      <c r="Y2" s="117"/>
      <c r="Z2" s="117"/>
      <c r="AA2" s="117"/>
    </row>
    <row r="3" spans="1:75" s="26" customFormat="1" ht="30" customHeight="1" x14ac:dyDescent="0.25">
      <c r="A3" s="13"/>
      <c r="B3" s="25"/>
      <c r="D3" s="27"/>
      <c r="E3" s="28"/>
    </row>
    <row r="4" spans="1:75" s="26" customFormat="1" ht="30" customHeight="1" x14ac:dyDescent="0.25">
      <c r="A4" s="14"/>
      <c r="B4" s="29"/>
      <c r="E4" s="30"/>
      <c r="J4" s="115">
        <f>J5</f>
        <v>46230</v>
      </c>
      <c r="K4" s="113"/>
      <c r="L4" s="113"/>
      <c r="M4" s="113"/>
      <c r="N4" s="113"/>
      <c r="O4" s="113"/>
      <c r="P4" s="113"/>
      <c r="Q4" s="113">
        <f>Q5</f>
        <v>46237</v>
      </c>
      <c r="R4" s="113"/>
      <c r="S4" s="113"/>
      <c r="T4" s="113"/>
      <c r="U4" s="113"/>
      <c r="V4" s="113"/>
      <c r="W4" s="113"/>
      <c r="X4" s="113">
        <f>X5</f>
        <v>46244</v>
      </c>
      <c r="Y4" s="113"/>
      <c r="Z4" s="113"/>
      <c r="AA4" s="113"/>
      <c r="AB4" s="113"/>
      <c r="AC4" s="113"/>
      <c r="AD4" s="113"/>
      <c r="AE4" s="113">
        <f>AE5</f>
        <v>46251</v>
      </c>
      <c r="AF4" s="113"/>
      <c r="AG4" s="113"/>
      <c r="AH4" s="113"/>
      <c r="AI4" s="113"/>
      <c r="AJ4" s="113"/>
      <c r="AK4" s="113"/>
      <c r="AL4" s="113">
        <f>AL5</f>
        <v>46258</v>
      </c>
      <c r="AM4" s="113"/>
      <c r="AN4" s="113"/>
      <c r="AO4" s="113"/>
      <c r="AP4" s="113"/>
      <c r="AQ4" s="113"/>
      <c r="AR4" s="113"/>
      <c r="AS4" s="113">
        <f>AS5</f>
        <v>46265</v>
      </c>
      <c r="AT4" s="113"/>
      <c r="AU4" s="113"/>
      <c r="AV4" s="113"/>
      <c r="AW4" s="113"/>
      <c r="AX4" s="113"/>
      <c r="AY4" s="113"/>
      <c r="AZ4" s="113">
        <f>AZ5</f>
        <v>46272</v>
      </c>
      <c r="BA4" s="113"/>
      <c r="BB4" s="113"/>
      <c r="BC4" s="113"/>
      <c r="BD4" s="113"/>
      <c r="BE4" s="113"/>
      <c r="BF4" s="113"/>
      <c r="BG4" s="113">
        <f>BG5</f>
        <v>46279</v>
      </c>
      <c r="BH4" s="113"/>
      <c r="BI4" s="113"/>
      <c r="BJ4" s="113"/>
      <c r="BK4" s="113"/>
      <c r="BL4" s="113"/>
      <c r="BM4" s="114"/>
    </row>
    <row r="5" spans="1:75" s="26" customFormat="1" ht="15" customHeight="1" x14ac:dyDescent="0.25">
      <c r="A5" s="121"/>
      <c r="B5" s="122" t="s">
        <v>5</v>
      </c>
      <c r="C5" s="124" t="s">
        <v>22</v>
      </c>
      <c r="D5" s="110" t="s">
        <v>1</v>
      </c>
      <c r="E5" s="110" t="s">
        <v>3</v>
      </c>
      <c r="F5" s="110" t="s">
        <v>4</v>
      </c>
      <c r="G5" s="110" t="s">
        <v>24</v>
      </c>
      <c r="J5" s="31">
        <f>Project_Start-WEEKDAY(Project_Start,1)+2+7*(Display_Week-1)</f>
        <v>46230</v>
      </c>
      <c r="K5" s="31">
        <f>J5+1</f>
        <v>46231</v>
      </c>
      <c r="L5" s="31">
        <f t="shared" ref="L5:AY5" si="0">K5+1</f>
        <v>46232</v>
      </c>
      <c r="M5" s="31">
        <f t="shared" si="0"/>
        <v>46233</v>
      </c>
      <c r="N5" s="31">
        <f t="shared" si="0"/>
        <v>46234</v>
      </c>
      <c r="O5" s="31">
        <f t="shared" si="0"/>
        <v>46235</v>
      </c>
      <c r="P5" s="32">
        <f t="shared" si="0"/>
        <v>46236</v>
      </c>
      <c r="Q5" s="33">
        <f>P5+1</f>
        <v>46237</v>
      </c>
      <c r="R5" s="31">
        <f>Q5+1</f>
        <v>46238</v>
      </c>
      <c r="S5" s="31">
        <f t="shared" si="0"/>
        <v>46239</v>
      </c>
      <c r="T5" s="31">
        <f t="shared" si="0"/>
        <v>46240</v>
      </c>
      <c r="U5" s="31">
        <f t="shared" si="0"/>
        <v>46241</v>
      </c>
      <c r="V5" s="31">
        <f t="shared" si="0"/>
        <v>46242</v>
      </c>
      <c r="W5" s="32">
        <f t="shared" si="0"/>
        <v>46243</v>
      </c>
      <c r="X5" s="33">
        <f>W5+1</f>
        <v>46244</v>
      </c>
      <c r="Y5" s="31">
        <f>X5+1</f>
        <v>46245</v>
      </c>
      <c r="Z5" s="31">
        <f t="shared" si="0"/>
        <v>46246</v>
      </c>
      <c r="AA5" s="31">
        <f t="shared" si="0"/>
        <v>46247</v>
      </c>
      <c r="AB5" s="31">
        <f t="shared" si="0"/>
        <v>46248</v>
      </c>
      <c r="AC5" s="31">
        <f t="shared" si="0"/>
        <v>46249</v>
      </c>
      <c r="AD5" s="32">
        <f t="shared" si="0"/>
        <v>46250</v>
      </c>
      <c r="AE5" s="33">
        <f>AD5+1</f>
        <v>46251</v>
      </c>
      <c r="AF5" s="31">
        <f>AE5+1</f>
        <v>46252</v>
      </c>
      <c r="AG5" s="31">
        <f t="shared" si="0"/>
        <v>46253</v>
      </c>
      <c r="AH5" s="31">
        <f t="shared" si="0"/>
        <v>46254</v>
      </c>
      <c r="AI5" s="31">
        <f t="shared" si="0"/>
        <v>46255</v>
      </c>
      <c r="AJ5" s="31">
        <f t="shared" si="0"/>
        <v>46256</v>
      </c>
      <c r="AK5" s="32">
        <f t="shared" si="0"/>
        <v>46257</v>
      </c>
      <c r="AL5" s="33">
        <f>AK5+1</f>
        <v>46258</v>
      </c>
      <c r="AM5" s="31">
        <f>AL5+1</f>
        <v>46259</v>
      </c>
      <c r="AN5" s="31">
        <f t="shared" si="0"/>
        <v>46260</v>
      </c>
      <c r="AO5" s="31">
        <f t="shared" si="0"/>
        <v>46261</v>
      </c>
      <c r="AP5" s="31">
        <f t="shared" si="0"/>
        <v>46262</v>
      </c>
      <c r="AQ5" s="31">
        <f t="shared" si="0"/>
        <v>46263</v>
      </c>
      <c r="AR5" s="32">
        <f t="shared" si="0"/>
        <v>46264</v>
      </c>
      <c r="AS5" s="33">
        <f>AR5+1</f>
        <v>46265</v>
      </c>
      <c r="AT5" s="31">
        <f>AS5+1</f>
        <v>46266</v>
      </c>
      <c r="AU5" s="31">
        <f t="shared" si="0"/>
        <v>46267</v>
      </c>
      <c r="AV5" s="31">
        <f t="shared" si="0"/>
        <v>46268</v>
      </c>
      <c r="AW5" s="31">
        <f t="shared" si="0"/>
        <v>46269</v>
      </c>
      <c r="AX5" s="31">
        <f t="shared" si="0"/>
        <v>46270</v>
      </c>
      <c r="AY5" s="32">
        <f t="shared" si="0"/>
        <v>46271</v>
      </c>
      <c r="AZ5" s="33">
        <f>AY5+1</f>
        <v>46272</v>
      </c>
      <c r="BA5" s="31">
        <f>AZ5+1</f>
        <v>46273</v>
      </c>
      <c r="BB5" s="31">
        <f t="shared" ref="BB5:BF5" si="1">BA5+1</f>
        <v>46274</v>
      </c>
      <c r="BC5" s="31">
        <f t="shared" si="1"/>
        <v>46275</v>
      </c>
      <c r="BD5" s="31">
        <f t="shared" si="1"/>
        <v>46276</v>
      </c>
      <c r="BE5" s="31">
        <f t="shared" si="1"/>
        <v>46277</v>
      </c>
      <c r="BF5" s="32">
        <f t="shared" si="1"/>
        <v>46278</v>
      </c>
      <c r="BG5" s="33">
        <f>BF5+1</f>
        <v>46279</v>
      </c>
      <c r="BH5" s="31">
        <f>BG5+1</f>
        <v>46280</v>
      </c>
      <c r="BI5" s="31">
        <f t="shared" ref="BI5:BM5" si="2">BH5+1</f>
        <v>46281</v>
      </c>
      <c r="BJ5" s="31">
        <f t="shared" si="2"/>
        <v>46282</v>
      </c>
      <c r="BK5" s="31">
        <f t="shared" si="2"/>
        <v>46283</v>
      </c>
      <c r="BL5" s="31">
        <f t="shared" si="2"/>
        <v>46284</v>
      </c>
      <c r="BM5" s="31">
        <f t="shared" si="2"/>
        <v>46285</v>
      </c>
    </row>
    <row r="6" spans="1:75" s="26" customFormat="1" ht="15" customHeight="1" thickBot="1" x14ac:dyDescent="0.3">
      <c r="A6" s="121"/>
      <c r="B6" s="123"/>
      <c r="C6" s="125"/>
      <c r="D6" s="111"/>
      <c r="E6" s="111"/>
      <c r="F6" s="111"/>
      <c r="G6" s="111"/>
      <c r="J6" s="34" t="str">
        <f t="shared" ref="J6:AO6" si="3">LEFT(TEXT(J5,"ddd"),1)</f>
        <v>M</v>
      </c>
      <c r="K6" s="35" t="str">
        <f t="shared" si="3"/>
        <v>T</v>
      </c>
      <c r="L6" s="35" t="str">
        <f t="shared" si="3"/>
        <v>W</v>
      </c>
      <c r="M6" s="35" t="str">
        <f t="shared" si="3"/>
        <v>T</v>
      </c>
      <c r="N6" s="35" t="str">
        <f t="shared" si="3"/>
        <v>F</v>
      </c>
      <c r="O6" s="35" t="str">
        <f t="shared" si="3"/>
        <v>S</v>
      </c>
      <c r="P6" s="35" t="str">
        <f t="shared" si="3"/>
        <v>S</v>
      </c>
      <c r="Q6" s="35" t="str">
        <f t="shared" si="3"/>
        <v>M</v>
      </c>
      <c r="R6" s="35" t="str">
        <f t="shared" si="3"/>
        <v>T</v>
      </c>
      <c r="S6" s="35" t="str">
        <f t="shared" si="3"/>
        <v>W</v>
      </c>
      <c r="T6" s="35" t="str">
        <f t="shared" si="3"/>
        <v>T</v>
      </c>
      <c r="U6" s="35" t="str">
        <f t="shared" si="3"/>
        <v>F</v>
      </c>
      <c r="V6" s="35" t="str">
        <f t="shared" si="3"/>
        <v>S</v>
      </c>
      <c r="W6" s="35" t="str">
        <f t="shared" si="3"/>
        <v>S</v>
      </c>
      <c r="X6" s="35" t="str">
        <f t="shared" si="3"/>
        <v>M</v>
      </c>
      <c r="Y6" s="35" t="str">
        <f t="shared" si="3"/>
        <v>T</v>
      </c>
      <c r="Z6" s="35" t="str">
        <f t="shared" si="3"/>
        <v>W</v>
      </c>
      <c r="AA6" s="35" t="str">
        <f t="shared" si="3"/>
        <v>T</v>
      </c>
      <c r="AB6" s="35" t="str">
        <f t="shared" si="3"/>
        <v>F</v>
      </c>
      <c r="AC6" s="35" t="str">
        <f t="shared" si="3"/>
        <v>S</v>
      </c>
      <c r="AD6" s="35" t="str">
        <f t="shared" si="3"/>
        <v>S</v>
      </c>
      <c r="AE6" s="35" t="str">
        <f t="shared" si="3"/>
        <v>M</v>
      </c>
      <c r="AF6" s="35" t="str">
        <f t="shared" si="3"/>
        <v>T</v>
      </c>
      <c r="AG6" s="35" t="str">
        <f t="shared" si="3"/>
        <v>W</v>
      </c>
      <c r="AH6" s="35" t="str">
        <f t="shared" si="3"/>
        <v>T</v>
      </c>
      <c r="AI6" s="35" t="str">
        <f t="shared" si="3"/>
        <v>F</v>
      </c>
      <c r="AJ6" s="35" t="str">
        <f t="shared" si="3"/>
        <v>S</v>
      </c>
      <c r="AK6" s="35" t="str">
        <f t="shared" si="3"/>
        <v>S</v>
      </c>
      <c r="AL6" s="35" t="str">
        <f t="shared" si="3"/>
        <v>M</v>
      </c>
      <c r="AM6" s="35" t="str">
        <f t="shared" si="3"/>
        <v>T</v>
      </c>
      <c r="AN6" s="35" t="str">
        <f t="shared" si="3"/>
        <v>W</v>
      </c>
      <c r="AO6" s="35" t="str">
        <f t="shared" si="3"/>
        <v>T</v>
      </c>
      <c r="AP6" s="35" t="str">
        <f t="shared" ref="AP6:BM6" si="4">LEFT(TEXT(AP5,"ddd"),1)</f>
        <v>F</v>
      </c>
      <c r="AQ6" s="35" t="str">
        <f t="shared" si="4"/>
        <v>S</v>
      </c>
      <c r="AR6" s="35" t="str">
        <f t="shared" si="4"/>
        <v>S</v>
      </c>
      <c r="AS6" s="35" t="str">
        <f t="shared" si="4"/>
        <v>M</v>
      </c>
      <c r="AT6" s="35" t="str">
        <f t="shared" si="4"/>
        <v>T</v>
      </c>
      <c r="AU6" s="35" t="str">
        <f t="shared" si="4"/>
        <v>W</v>
      </c>
      <c r="AV6" s="35" t="str">
        <f t="shared" si="4"/>
        <v>T</v>
      </c>
      <c r="AW6" s="35" t="str">
        <f t="shared" si="4"/>
        <v>F</v>
      </c>
      <c r="AX6" s="35" t="str">
        <f t="shared" si="4"/>
        <v>S</v>
      </c>
      <c r="AY6" s="35" t="str">
        <f t="shared" si="4"/>
        <v>S</v>
      </c>
      <c r="AZ6" s="35" t="str">
        <f t="shared" si="4"/>
        <v>M</v>
      </c>
      <c r="BA6" s="35" t="str">
        <f t="shared" si="4"/>
        <v>T</v>
      </c>
      <c r="BB6" s="35" t="str">
        <f t="shared" si="4"/>
        <v>W</v>
      </c>
      <c r="BC6" s="35" t="str">
        <f t="shared" si="4"/>
        <v>T</v>
      </c>
      <c r="BD6" s="35" t="str">
        <f t="shared" si="4"/>
        <v>F</v>
      </c>
      <c r="BE6" s="35" t="str">
        <f t="shared" si="4"/>
        <v>S</v>
      </c>
      <c r="BF6" s="35" t="str">
        <f t="shared" si="4"/>
        <v>S</v>
      </c>
      <c r="BG6" s="35" t="str">
        <f t="shared" si="4"/>
        <v>M</v>
      </c>
      <c r="BH6" s="35" t="str">
        <f t="shared" si="4"/>
        <v>T</v>
      </c>
      <c r="BI6" s="35" t="str">
        <f t="shared" si="4"/>
        <v>W</v>
      </c>
      <c r="BJ6" s="35" t="str">
        <f t="shared" si="4"/>
        <v>T</v>
      </c>
      <c r="BK6" s="35" t="str">
        <f t="shared" si="4"/>
        <v>F</v>
      </c>
      <c r="BL6" s="35" t="str">
        <f t="shared" si="4"/>
        <v>S</v>
      </c>
      <c r="BM6" s="36" t="str">
        <f t="shared" si="4"/>
        <v>S</v>
      </c>
    </row>
    <row r="7" spans="1:75" s="26" customFormat="1" ht="30" hidden="1" customHeight="1" thickBot="1" x14ac:dyDescent="0.3">
      <c r="A7" s="13" t="s">
        <v>19</v>
      </c>
      <c r="B7" s="37"/>
      <c r="C7" s="38"/>
      <c r="D7" s="37"/>
      <c r="E7" s="37"/>
      <c r="F7" s="37"/>
      <c r="G7" s="37"/>
      <c r="I7" s="26" t="str">
        <f>IF(OR(ISBLANK(task_start),ISBLANK(task_end)),"",task_end-task_start+1)</f>
        <v/>
      </c>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row>
    <row r="8" spans="1:75" s="46" customFormat="1" ht="30" customHeight="1" thickBot="1" x14ac:dyDescent="0.3">
      <c r="A8" s="14"/>
      <c r="B8" s="40" t="s">
        <v>27</v>
      </c>
      <c r="C8" s="41"/>
      <c r="D8" s="42"/>
      <c r="E8" s="43"/>
      <c r="F8" s="44"/>
      <c r="G8" s="44"/>
      <c r="H8" s="17"/>
      <c r="I8" s="5" t="str">
        <f t="shared" ref="I8:I41" si="5">IF(OR(ISBLANK(task_start),ISBLANK(task_end)),"",task_end-task_start+1)</f>
        <v/>
      </c>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row>
    <row r="9" spans="1:75" s="46" customFormat="1" ht="30" customHeight="1" thickBot="1" x14ac:dyDescent="0.3">
      <c r="A9" s="14"/>
      <c r="B9" s="97" t="s">
        <v>29</v>
      </c>
      <c r="C9" s="47" t="s">
        <v>28</v>
      </c>
      <c r="D9" s="48">
        <v>1</v>
      </c>
      <c r="E9" s="49">
        <f>Project_Start</f>
        <v>46185</v>
      </c>
      <c r="F9" s="49">
        <f>DATE(2026,6,12)</f>
        <v>46185</v>
      </c>
      <c r="G9" s="98" t="s">
        <v>32</v>
      </c>
      <c r="H9" s="17"/>
      <c r="I9" s="5">
        <f t="shared" si="5"/>
        <v>1</v>
      </c>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c r="BT9" s="99"/>
    </row>
    <row r="10" spans="1:75" s="46" customFormat="1" ht="30" customHeight="1" thickBot="1" x14ac:dyDescent="0.3">
      <c r="A10" s="14"/>
      <c r="B10" s="97" t="s">
        <v>30</v>
      </c>
      <c r="C10" s="47" t="s">
        <v>28</v>
      </c>
      <c r="D10" s="48">
        <v>1</v>
      </c>
      <c r="E10" s="49">
        <f>DATE(2026,6,16)</f>
        <v>46189</v>
      </c>
      <c r="F10" s="49">
        <f>DATE(2026,6,16)</f>
        <v>46189</v>
      </c>
      <c r="G10" s="98" t="s">
        <v>33</v>
      </c>
      <c r="H10" s="17"/>
      <c r="I10" s="5">
        <f t="shared" si="5"/>
        <v>1</v>
      </c>
      <c r="J10" s="50"/>
      <c r="K10" s="50"/>
      <c r="L10" s="50"/>
      <c r="M10" s="50"/>
      <c r="N10" s="50"/>
      <c r="O10" s="50"/>
      <c r="P10" s="50"/>
      <c r="Q10" s="50"/>
      <c r="R10" s="50"/>
      <c r="S10" s="50"/>
      <c r="T10" s="50"/>
      <c r="U10" s="50"/>
      <c r="V10" s="52"/>
      <c r="W10" s="52"/>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T10" s="99"/>
    </row>
    <row r="11" spans="1:75" s="46" customFormat="1" ht="30" customHeight="1" thickBot="1" x14ac:dyDescent="0.3">
      <c r="A11" s="13"/>
      <c r="B11" s="97" t="s">
        <v>31</v>
      </c>
      <c r="C11" s="47" t="s">
        <v>28</v>
      </c>
      <c r="D11" s="48">
        <v>1</v>
      </c>
      <c r="E11" s="49">
        <f>DATE(2026,6,13)</f>
        <v>46186</v>
      </c>
      <c r="F11" s="49">
        <f>DATE(2026,7,8)</f>
        <v>46211</v>
      </c>
      <c r="G11" s="98" t="s">
        <v>35</v>
      </c>
      <c r="H11" s="17"/>
      <c r="I11" s="5">
        <f t="shared" si="5"/>
        <v>26</v>
      </c>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T11" s="99"/>
    </row>
    <row r="12" spans="1:75" s="46" customFormat="1" ht="30" customHeight="1" thickBot="1" x14ac:dyDescent="0.3">
      <c r="A12" s="13"/>
      <c r="B12" s="97" t="s">
        <v>34</v>
      </c>
      <c r="C12" s="47" t="s">
        <v>28</v>
      </c>
      <c r="D12" s="48">
        <v>1</v>
      </c>
      <c r="E12" s="49">
        <f>DATE(2026,7,9)</f>
        <v>46212</v>
      </c>
      <c r="F12" s="49">
        <f>DATE(2026,7,15)</f>
        <v>46218</v>
      </c>
      <c r="G12" s="98" t="s">
        <v>36</v>
      </c>
      <c r="H12" s="17"/>
      <c r="I12" s="5">
        <f t="shared" si="5"/>
        <v>7</v>
      </c>
      <c r="J12" s="50"/>
      <c r="K12" s="50"/>
      <c r="L12" s="50"/>
      <c r="M12" s="50"/>
      <c r="N12" s="50"/>
      <c r="O12" s="50"/>
      <c r="P12" s="50"/>
      <c r="Q12" s="50"/>
      <c r="R12" s="50"/>
      <c r="S12" s="50"/>
      <c r="T12" s="50"/>
      <c r="U12" s="50"/>
      <c r="V12" s="50"/>
      <c r="W12" s="50"/>
      <c r="X12" s="50"/>
      <c r="Y12" s="50"/>
      <c r="Z12" s="52"/>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c r="BM12" s="50"/>
      <c r="BT12" s="99"/>
    </row>
    <row r="13" spans="1:75" s="46" customFormat="1" ht="30" customHeight="1" thickBot="1" x14ac:dyDescent="0.3">
      <c r="A13" s="13"/>
      <c r="B13" s="97" t="s">
        <v>37</v>
      </c>
      <c r="C13" s="47" t="s">
        <v>28</v>
      </c>
      <c r="D13" s="51">
        <v>1</v>
      </c>
      <c r="E13" s="49">
        <f>DATE(2026,7,15)</f>
        <v>46218</v>
      </c>
      <c r="F13" s="49">
        <f>DATE(2026,7,27)</f>
        <v>46230</v>
      </c>
      <c r="G13" s="98" t="s">
        <v>38</v>
      </c>
      <c r="H13" s="17"/>
      <c r="I13" s="5">
        <f t="shared" si="5"/>
        <v>13</v>
      </c>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T13" s="99"/>
    </row>
    <row r="14" spans="1:75" s="46" customFormat="1" ht="30" customHeight="1" thickBot="1" x14ac:dyDescent="0.3">
      <c r="A14" s="14"/>
      <c r="B14" s="53" t="s">
        <v>61</v>
      </c>
      <c r="C14" s="54"/>
      <c r="D14" s="55"/>
      <c r="E14" s="56"/>
      <c r="F14" s="57"/>
      <c r="G14" s="57"/>
      <c r="H14" s="17"/>
      <c r="I14" s="5" t="str">
        <f t="shared" si="5"/>
        <v/>
      </c>
      <c r="BT14" s="99"/>
    </row>
    <row r="15" spans="1:75" s="46" customFormat="1" ht="30" customHeight="1" thickBot="1" x14ac:dyDescent="0.3">
      <c r="A15" s="14"/>
      <c r="B15" s="101" t="s">
        <v>39</v>
      </c>
      <c r="C15" s="58" t="s">
        <v>28</v>
      </c>
      <c r="D15" s="59">
        <v>1</v>
      </c>
      <c r="E15" s="60">
        <f>DATE(2026,7,19)</f>
        <v>46222</v>
      </c>
      <c r="F15" s="60">
        <f>DATE(2026,7,21)</f>
        <v>46224</v>
      </c>
      <c r="G15" s="102" t="s">
        <v>40</v>
      </c>
      <c r="H15" s="17"/>
      <c r="I15" s="5">
        <f t="shared" si="5"/>
        <v>3</v>
      </c>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T15" s="99"/>
      <c r="BU15" s="100"/>
      <c r="BV15" s="100"/>
      <c r="BW15" s="100"/>
    </row>
    <row r="16" spans="1:75" s="46" customFormat="1" ht="30" customHeight="1" thickBot="1" x14ac:dyDescent="0.3">
      <c r="A16" s="13"/>
      <c r="B16" s="101" t="s">
        <v>41</v>
      </c>
      <c r="C16" s="58" t="s">
        <v>28</v>
      </c>
      <c r="D16" s="59">
        <v>1</v>
      </c>
      <c r="E16" s="60">
        <f>DATE(2026,7,22)</f>
        <v>46225</v>
      </c>
      <c r="F16" s="60">
        <f>DATE(2026,7,22)</f>
        <v>46225</v>
      </c>
      <c r="G16" s="102" t="s">
        <v>42</v>
      </c>
      <c r="H16" s="17"/>
      <c r="I16" s="5">
        <f t="shared" si="5"/>
        <v>1</v>
      </c>
      <c r="J16" s="50"/>
      <c r="K16" s="50"/>
      <c r="L16" s="50"/>
      <c r="M16" s="50"/>
      <c r="N16" s="50"/>
      <c r="O16" s="50"/>
      <c r="P16" s="50"/>
      <c r="Q16" s="50"/>
      <c r="R16" s="50"/>
      <c r="S16" s="50"/>
      <c r="T16" s="50"/>
      <c r="U16" s="50"/>
      <c r="V16" s="52"/>
      <c r="W16" s="52"/>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c r="BM16" s="50"/>
      <c r="BT16" s="99"/>
      <c r="BU16" s="100"/>
      <c r="BV16" s="100"/>
      <c r="BW16" s="100"/>
    </row>
    <row r="17" spans="1:75" s="46" customFormat="1" ht="30" customHeight="1" thickBot="1" x14ac:dyDescent="0.3">
      <c r="A17" s="13"/>
      <c r="B17" s="101" t="s">
        <v>43</v>
      </c>
      <c r="C17" s="58" t="s">
        <v>28</v>
      </c>
      <c r="D17" s="59">
        <v>1</v>
      </c>
      <c r="E17" s="60">
        <f>DATE(2026,7,28)</f>
        <v>46231</v>
      </c>
      <c r="F17" s="60">
        <f>DATE(2026,7,28)</f>
        <v>46231</v>
      </c>
      <c r="G17" s="102" t="s">
        <v>44</v>
      </c>
      <c r="H17" s="17"/>
      <c r="I17" s="5">
        <f t="shared" si="5"/>
        <v>1</v>
      </c>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T17" s="99"/>
      <c r="BU17" s="100"/>
      <c r="BV17" s="100"/>
      <c r="BW17" s="100"/>
    </row>
    <row r="18" spans="1:75" s="46" customFormat="1" ht="30" customHeight="1" thickBot="1" x14ac:dyDescent="0.3">
      <c r="A18" s="13"/>
      <c r="B18" s="101" t="s">
        <v>45</v>
      </c>
      <c r="C18" s="58" t="s">
        <v>28</v>
      </c>
      <c r="D18" s="59">
        <v>1</v>
      </c>
      <c r="E18" s="60">
        <f>DATE(2026,7,29)</f>
        <v>46232</v>
      </c>
      <c r="F18" s="60">
        <f>DATE(2026,7,29)</f>
        <v>46232</v>
      </c>
      <c r="G18" s="102" t="s">
        <v>46</v>
      </c>
      <c r="H18" s="17"/>
      <c r="I18" s="5">
        <f t="shared" si="5"/>
        <v>1</v>
      </c>
      <c r="J18" s="50"/>
      <c r="K18" s="50"/>
      <c r="L18" s="50"/>
      <c r="M18" s="50"/>
      <c r="N18" s="50"/>
      <c r="O18" s="50"/>
      <c r="P18" s="50"/>
      <c r="Q18" s="50"/>
      <c r="R18" s="50"/>
      <c r="S18" s="50"/>
      <c r="T18" s="50"/>
      <c r="U18" s="50"/>
      <c r="V18" s="50"/>
      <c r="W18" s="50"/>
      <c r="X18" s="50"/>
      <c r="Y18" s="50"/>
      <c r="Z18" s="52"/>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c r="BM18" s="50"/>
      <c r="BT18" s="99"/>
      <c r="BU18" s="100"/>
      <c r="BV18" s="100"/>
      <c r="BW18" s="100"/>
    </row>
    <row r="19" spans="1:75" s="46" customFormat="1" ht="30" customHeight="1" thickBot="1" x14ac:dyDescent="0.3">
      <c r="A19" s="13"/>
      <c r="B19" s="101" t="s">
        <v>47</v>
      </c>
      <c r="C19" s="58" t="s">
        <v>28</v>
      </c>
      <c r="D19" s="59">
        <v>1</v>
      </c>
      <c r="E19" s="60">
        <f>DATE(2026,7,30)</f>
        <v>46233</v>
      </c>
      <c r="F19" s="60">
        <f>DATE(2026,7,30)</f>
        <v>46233</v>
      </c>
      <c r="G19" s="102" t="s">
        <v>48</v>
      </c>
      <c r="H19" s="17"/>
      <c r="I19" s="5"/>
      <c r="J19" s="50"/>
      <c r="K19" s="50"/>
      <c r="L19" s="50"/>
      <c r="M19" s="50"/>
      <c r="N19" s="50"/>
      <c r="O19" s="50"/>
      <c r="P19" s="50"/>
      <c r="Q19" s="50"/>
      <c r="R19" s="50"/>
      <c r="S19" s="50"/>
      <c r="T19" s="50"/>
      <c r="U19" s="50"/>
      <c r="V19" s="50"/>
      <c r="W19" s="50"/>
      <c r="X19" s="50"/>
      <c r="Y19" s="50"/>
      <c r="Z19" s="52"/>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c r="BM19" s="50"/>
      <c r="BT19" s="99"/>
      <c r="BU19" s="100"/>
      <c r="BV19" s="100"/>
      <c r="BW19" s="100"/>
    </row>
    <row r="20" spans="1:75" s="46" customFormat="1" ht="30" customHeight="1" thickBot="1" x14ac:dyDescent="0.3">
      <c r="A20" s="13"/>
      <c r="B20" s="101" t="s">
        <v>49</v>
      </c>
      <c r="C20" s="58" t="s">
        <v>28</v>
      </c>
      <c r="D20" s="59">
        <v>1</v>
      </c>
      <c r="E20" s="60">
        <f>DATE(2026,7,31)</f>
        <v>46234</v>
      </c>
      <c r="F20" s="60">
        <f>DATE(2026,7,31)</f>
        <v>46234</v>
      </c>
      <c r="G20" s="102" t="s">
        <v>50</v>
      </c>
      <c r="H20" s="17"/>
      <c r="I20" s="5"/>
      <c r="J20" s="50"/>
      <c r="K20" s="50"/>
      <c r="L20" s="50"/>
      <c r="M20" s="50"/>
      <c r="N20" s="50"/>
      <c r="O20" s="50"/>
      <c r="P20" s="50"/>
      <c r="Q20" s="50"/>
      <c r="R20" s="50"/>
      <c r="S20" s="50"/>
      <c r="T20" s="50"/>
      <c r="U20" s="50"/>
      <c r="V20" s="50"/>
      <c r="W20" s="50"/>
      <c r="X20" s="50"/>
      <c r="Y20" s="50"/>
      <c r="Z20" s="52"/>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c r="BM20" s="50"/>
      <c r="BT20" s="99"/>
      <c r="BU20" s="100"/>
      <c r="BV20" s="100"/>
      <c r="BW20" s="100"/>
    </row>
    <row r="21" spans="1:75" s="46" customFormat="1" ht="30" customHeight="1" thickBot="1" x14ac:dyDescent="0.3">
      <c r="A21" s="13"/>
      <c r="B21" s="101" t="s">
        <v>51</v>
      </c>
      <c r="C21" s="58" t="s">
        <v>28</v>
      </c>
      <c r="D21" s="59">
        <v>1</v>
      </c>
      <c r="E21" s="60">
        <f>DATE(2026,8,2)</f>
        <v>46236</v>
      </c>
      <c r="F21" s="60">
        <f>DATE(2026,8,3)</f>
        <v>46237</v>
      </c>
      <c r="G21" s="102" t="s">
        <v>52</v>
      </c>
      <c r="H21" s="17"/>
      <c r="I21" s="5"/>
      <c r="J21" s="50"/>
      <c r="K21" s="50"/>
      <c r="L21" s="50"/>
      <c r="M21" s="50"/>
      <c r="N21" s="50"/>
      <c r="O21" s="50"/>
      <c r="P21" s="50"/>
      <c r="Q21" s="50"/>
      <c r="R21" s="50"/>
      <c r="S21" s="50"/>
      <c r="T21" s="50"/>
      <c r="U21" s="50"/>
      <c r="V21" s="50"/>
      <c r="W21" s="50"/>
      <c r="X21" s="50"/>
      <c r="Y21" s="50"/>
      <c r="Z21" s="52"/>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c r="BM21" s="50"/>
      <c r="BT21" s="99"/>
      <c r="BU21" s="100"/>
      <c r="BV21" s="100"/>
      <c r="BW21" s="100"/>
    </row>
    <row r="22" spans="1:75" s="46" customFormat="1" ht="30" customHeight="1" thickBot="1" x14ac:dyDescent="0.3">
      <c r="A22" s="13"/>
      <c r="B22" s="101" t="s">
        <v>53</v>
      </c>
      <c r="C22" s="58" t="s">
        <v>28</v>
      </c>
      <c r="D22" s="59">
        <v>1</v>
      </c>
      <c r="E22" s="60">
        <f>DATE(2026,8,4)</f>
        <v>46238</v>
      </c>
      <c r="F22" s="60">
        <f>DATE(2026,8,4)</f>
        <v>46238</v>
      </c>
      <c r="G22" s="102" t="s">
        <v>54</v>
      </c>
      <c r="H22" s="17"/>
      <c r="I22" s="5"/>
      <c r="J22" s="50"/>
      <c r="K22" s="50"/>
      <c r="L22" s="50"/>
      <c r="M22" s="50"/>
      <c r="N22" s="50"/>
      <c r="O22" s="50"/>
      <c r="P22" s="50"/>
      <c r="Q22" s="50"/>
      <c r="R22" s="50"/>
      <c r="S22" s="50"/>
      <c r="T22" s="50"/>
      <c r="U22" s="50"/>
      <c r="V22" s="50"/>
      <c r="W22" s="50"/>
      <c r="X22" s="50"/>
      <c r="Y22" s="50"/>
      <c r="Z22" s="52"/>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T22" s="99"/>
      <c r="BU22" s="100"/>
      <c r="BV22" s="100"/>
      <c r="BW22" s="100"/>
    </row>
    <row r="23" spans="1:75" s="46" customFormat="1" ht="30" customHeight="1" thickBot="1" x14ac:dyDescent="0.3">
      <c r="A23" s="13"/>
      <c r="B23" s="101" t="s">
        <v>55</v>
      </c>
      <c r="C23" s="58" t="s">
        <v>62</v>
      </c>
      <c r="D23" s="59">
        <v>1</v>
      </c>
      <c r="E23" s="60">
        <f>DATE(2026,8,3)</f>
        <v>46237</v>
      </c>
      <c r="F23" s="60">
        <f>DATE(2026,8,7)</f>
        <v>46241</v>
      </c>
      <c r="G23" s="102" t="s">
        <v>56</v>
      </c>
      <c r="H23" s="17"/>
      <c r="I23" s="5">
        <f t="shared" si="5"/>
        <v>5</v>
      </c>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T23" s="99"/>
      <c r="BU23" s="100"/>
    </row>
    <row r="24" spans="1:75" s="46" customFormat="1" ht="30" customHeight="1" thickBot="1" x14ac:dyDescent="0.3">
      <c r="A24" s="13"/>
      <c r="B24" s="103" t="s">
        <v>57</v>
      </c>
      <c r="C24" s="104" t="s">
        <v>28</v>
      </c>
      <c r="D24" s="105">
        <v>1</v>
      </c>
      <c r="E24" s="60">
        <f>DATE(2026,8,8)</f>
        <v>46242</v>
      </c>
      <c r="F24" s="60">
        <f>DATE(2026,8,8)</f>
        <v>46242</v>
      </c>
      <c r="G24" s="102" t="s">
        <v>58</v>
      </c>
      <c r="H24" s="17"/>
      <c r="I24" s="5"/>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T24" s="99"/>
      <c r="BU24" s="100"/>
    </row>
    <row r="25" spans="1:75" s="46" customFormat="1" ht="30" customHeight="1" thickBot="1" x14ac:dyDescent="0.3">
      <c r="A25" s="13"/>
      <c r="B25" s="103" t="s">
        <v>59</v>
      </c>
      <c r="C25" s="104" t="s">
        <v>28</v>
      </c>
      <c r="D25" s="105">
        <v>1</v>
      </c>
      <c r="E25" s="60">
        <f>DATE(2026,8,9)</f>
        <v>46243</v>
      </c>
      <c r="F25" s="60">
        <f>DATE(2026,8,14)</f>
        <v>46248</v>
      </c>
      <c r="G25" s="102" t="s">
        <v>60</v>
      </c>
      <c r="H25" s="17"/>
      <c r="I25" s="5"/>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M25" s="66"/>
      <c r="BT25" s="99"/>
      <c r="BU25" s="100"/>
    </row>
    <row r="26" spans="1:75" s="46" customFormat="1" ht="30" customHeight="1" thickBot="1" x14ac:dyDescent="0.3">
      <c r="A26" s="13"/>
      <c r="B26" s="61" t="s">
        <v>63</v>
      </c>
      <c r="C26" s="62"/>
      <c r="D26" s="63"/>
      <c r="E26" s="64"/>
      <c r="F26" s="65"/>
      <c r="G26" s="65"/>
      <c r="H26" s="17"/>
      <c r="I26" s="5" t="str">
        <f t="shared" si="5"/>
        <v/>
      </c>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row>
    <row r="27" spans="1:75" s="46" customFormat="1" ht="30" customHeight="1" thickBot="1" x14ac:dyDescent="0.3">
      <c r="A27" s="13"/>
      <c r="B27" s="106" t="s">
        <v>64</v>
      </c>
      <c r="C27" s="67" t="s">
        <v>28</v>
      </c>
      <c r="D27" s="68">
        <v>1</v>
      </c>
      <c r="E27" s="69">
        <f>DATE(2026,8,11)</f>
        <v>46245</v>
      </c>
      <c r="F27" s="69">
        <f>DATE(2026,8,11)</f>
        <v>46245</v>
      </c>
      <c r="G27" s="107" t="s">
        <v>68</v>
      </c>
      <c r="H27" s="17"/>
      <c r="I27" s="5">
        <f t="shared" si="5"/>
        <v>1</v>
      </c>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row>
    <row r="28" spans="1:75" s="46" customFormat="1" ht="30" customHeight="1" thickBot="1" x14ac:dyDescent="0.3">
      <c r="A28" s="13"/>
      <c r="B28" s="106" t="s">
        <v>65</v>
      </c>
      <c r="C28" s="67" t="s">
        <v>28</v>
      </c>
      <c r="D28" s="68">
        <v>1</v>
      </c>
      <c r="E28" s="69">
        <f>DATE(2026,8,11)</f>
        <v>46245</v>
      </c>
      <c r="F28" s="69">
        <f>DATE(2026,8,13)</f>
        <v>46247</v>
      </c>
      <c r="G28" s="107" t="s">
        <v>69</v>
      </c>
      <c r="H28" s="17"/>
      <c r="I28" s="5">
        <f t="shared" si="5"/>
        <v>3</v>
      </c>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row>
    <row r="29" spans="1:75" s="46" customFormat="1" ht="30" customHeight="1" thickBot="1" x14ac:dyDescent="0.3">
      <c r="A29" s="13"/>
      <c r="B29" s="106" t="s">
        <v>66</v>
      </c>
      <c r="C29" s="67" t="s">
        <v>28</v>
      </c>
      <c r="D29" s="68">
        <v>1</v>
      </c>
      <c r="E29" s="69">
        <f>DATE(2026,8,13)</f>
        <v>46247</v>
      </c>
      <c r="F29" s="69">
        <f>DATE(2026,8,13)</f>
        <v>46247</v>
      </c>
      <c r="G29" s="107" t="s">
        <v>70</v>
      </c>
      <c r="H29" s="17"/>
      <c r="I29" s="5">
        <f t="shared" si="5"/>
        <v>1</v>
      </c>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row>
    <row r="30" spans="1:75" s="46" customFormat="1" ht="30" customHeight="1" thickBot="1" x14ac:dyDescent="0.3">
      <c r="A30" s="13"/>
      <c r="B30" s="106" t="s">
        <v>67</v>
      </c>
      <c r="C30" s="67" t="s">
        <v>28</v>
      </c>
      <c r="D30" s="68">
        <v>1</v>
      </c>
      <c r="E30" s="69">
        <f>DATE(2026,8,13)</f>
        <v>46247</v>
      </c>
      <c r="F30" s="69">
        <f>DATE(2026,8,25)</f>
        <v>46259</v>
      </c>
      <c r="G30" s="107" t="s">
        <v>71</v>
      </c>
      <c r="H30" s="17"/>
      <c r="I30" s="5">
        <f t="shared" si="5"/>
        <v>13</v>
      </c>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row>
    <row r="31" spans="1:75" s="46" customFormat="1" ht="30" customHeight="1" thickBot="1" x14ac:dyDescent="0.3">
      <c r="A31" s="13"/>
      <c r="B31" s="106" t="s">
        <v>72</v>
      </c>
      <c r="C31" s="67" t="s">
        <v>28</v>
      </c>
      <c r="D31" s="68">
        <v>1</v>
      </c>
      <c r="E31" s="69">
        <f>DATE(2026,8,26)</f>
        <v>46260</v>
      </c>
      <c r="F31" s="69">
        <f>DATE(2026,8,26)</f>
        <v>46260</v>
      </c>
      <c r="G31" s="107" t="s">
        <v>73</v>
      </c>
      <c r="H31" s="17"/>
      <c r="I31" s="5">
        <f t="shared" si="5"/>
        <v>1</v>
      </c>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row>
    <row r="32" spans="1:75" s="46" customFormat="1" ht="30" customHeight="1" thickBot="1" x14ac:dyDescent="0.3">
      <c r="A32" s="13"/>
      <c r="B32" s="126" t="s">
        <v>76</v>
      </c>
      <c r="C32" s="67" t="s">
        <v>28</v>
      </c>
      <c r="D32" s="127">
        <v>1</v>
      </c>
      <c r="E32" s="69">
        <f>DATE(2026,9,7)</f>
        <v>46272</v>
      </c>
      <c r="F32" s="69">
        <f>DATE(2026,9,7)</f>
        <v>46272</v>
      </c>
      <c r="G32" s="107" t="s">
        <v>74</v>
      </c>
      <c r="H32" s="17"/>
      <c r="I32" s="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5"/>
      <c r="AT32" s="75"/>
      <c r="AU32" s="75"/>
      <c r="AV32" s="75"/>
      <c r="AW32" s="75"/>
      <c r="AX32" s="75"/>
      <c r="AY32" s="75"/>
      <c r="AZ32" s="75"/>
      <c r="BA32" s="75"/>
      <c r="BB32" s="75"/>
      <c r="BC32" s="75"/>
      <c r="BD32" s="75"/>
      <c r="BE32" s="75"/>
      <c r="BF32" s="75"/>
      <c r="BG32" s="75"/>
      <c r="BH32" s="75"/>
      <c r="BI32" s="75"/>
      <c r="BJ32" s="75"/>
      <c r="BK32" s="75"/>
      <c r="BL32" s="75"/>
      <c r="BM32" s="75"/>
    </row>
    <row r="33" spans="1:65" s="46" customFormat="1" ht="30" customHeight="1" thickBot="1" x14ac:dyDescent="0.3">
      <c r="A33" s="13"/>
      <c r="B33" s="126" t="s">
        <v>77</v>
      </c>
      <c r="C33" s="67" t="s">
        <v>28</v>
      </c>
      <c r="D33" s="127">
        <v>1</v>
      </c>
      <c r="E33" s="69">
        <f>DATE(2026,9,10)</f>
        <v>46275</v>
      </c>
      <c r="F33" s="69">
        <f>DATE(2026,9,10)</f>
        <v>46275</v>
      </c>
      <c r="G33" s="107" t="s">
        <v>75</v>
      </c>
      <c r="H33" s="17"/>
      <c r="I33" s="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5"/>
      <c r="AT33" s="75"/>
      <c r="AU33" s="75"/>
      <c r="AV33" s="75"/>
      <c r="AW33" s="75"/>
      <c r="AX33" s="75"/>
      <c r="AY33" s="75"/>
      <c r="AZ33" s="75"/>
      <c r="BA33" s="75"/>
      <c r="BB33" s="75"/>
      <c r="BC33" s="75"/>
      <c r="BD33" s="75"/>
      <c r="BE33" s="75"/>
      <c r="BF33" s="75"/>
      <c r="BG33" s="75"/>
      <c r="BH33" s="75"/>
      <c r="BI33" s="75"/>
      <c r="BJ33" s="75"/>
      <c r="BK33" s="75"/>
      <c r="BL33" s="75"/>
      <c r="BM33" s="75"/>
    </row>
    <row r="34" spans="1:65" s="46" customFormat="1" ht="30" customHeight="1" thickBot="1" x14ac:dyDescent="0.3">
      <c r="A34" s="13"/>
      <c r="B34" s="70" t="s">
        <v>23</v>
      </c>
      <c r="C34" s="71"/>
      <c r="D34" s="72"/>
      <c r="E34" s="73"/>
      <c r="F34" s="74"/>
      <c r="G34" s="74"/>
      <c r="H34" s="17"/>
      <c r="I34" s="5" t="str">
        <f t="shared" si="5"/>
        <v/>
      </c>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5"/>
      <c r="AT34" s="75"/>
      <c r="AU34" s="75"/>
      <c r="AV34" s="75"/>
      <c r="AW34" s="75"/>
      <c r="AX34" s="75"/>
      <c r="AY34" s="75"/>
      <c r="AZ34" s="75"/>
      <c r="BA34" s="75"/>
      <c r="BB34" s="75"/>
      <c r="BC34" s="75"/>
      <c r="BD34" s="75"/>
      <c r="BE34" s="75"/>
      <c r="BF34" s="75"/>
      <c r="BG34" s="75"/>
      <c r="BH34" s="75"/>
      <c r="BI34" s="75"/>
      <c r="BJ34" s="75"/>
      <c r="BK34" s="75"/>
      <c r="BL34" s="75"/>
      <c r="BM34" s="75"/>
    </row>
    <row r="35" spans="1:65" s="46" customFormat="1" ht="30" customHeight="1" thickBot="1" x14ac:dyDescent="0.3">
      <c r="A35" s="13"/>
      <c r="B35" s="108"/>
      <c r="C35" s="76" t="s">
        <v>28</v>
      </c>
      <c r="D35" s="77">
        <v>0.25</v>
      </c>
      <c r="E35" s="78"/>
      <c r="F35" s="78"/>
      <c r="G35" s="109"/>
      <c r="H35" s="17"/>
      <c r="I35" s="5" t="str">
        <f t="shared" si="5"/>
        <v/>
      </c>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row>
    <row r="36" spans="1:65" s="46" customFormat="1" ht="30" customHeight="1" thickBot="1" x14ac:dyDescent="0.3">
      <c r="A36" s="13"/>
      <c r="B36" s="108"/>
      <c r="C36" s="76" t="s">
        <v>28</v>
      </c>
      <c r="D36" s="77">
        <v>0.25</v>
      </c>
      <c r="E36" s="78"/>
      <c r="F36" s="78"/>
      <c r="G36" s="109"/>
      <c r="H36" s="17"/>
      <c r="I36" s="5" t="str">
        <f t="shared" si="5"/>
        <v/>
      </c>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row>
    <row r="37" spans="1:65" s="46" customFormat="1" ht="30" customHeight="1" thickBot="1" x14ac:dyDescent="0.3">
      <c r="A37" s="13"/>
      <c r="B37" s="108"/>
      <c r="C37" s="76" t="s">
        <v>28</v>
      </c>
      <c r="D37" s="77">
        <v>0.5</v>
      </c>
      <c r="E37" s="78"/>
      <c r="F37" s="78"/>
      <c r="G37" s="109"/>
      <c r="H37" s="17"/>
      <c r="I37" s="5" t="str">
        <f t="shared" si="5"/>
        <v/>
      </c>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row>
    <row r="38" spans="1:65" s="46" customFormat="1" ht="30" customHeight="1" thickBot="1" x14ac:dyDescent="0.3">
      <c r="A38" s="13"/>
      <c r="B38" s="108"/>
      <c r="C38" s="76" t="s">
        <v>28</v>
      </c>
      <c r="D38" s="77">
        <v>0.6</v>
      </c>
      <c r="E38" s="78"/>
      <c r="F38" s="78"/>
      <c r="G38" s="109"/>
      <c r="H38" s="17"/>
      <c r="I38" s="5" t="str">
        <f t="shared" si="5"/>
        <v/>
      </c>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row>
    <row r="39" spans="1:65" s="46" customFormat="1" ht="30" customHeight="1" thickBot="1" x14ac:dyDescent="0.3">
      <c r="A39" s="13"/>
      <c r="B39" s="108"/>
      <c r="C39" s="76" t="s">
        <v>28</v>
      </c>
      <c r="D39" s="77">
        <v>0.5</v>
      </c>
      <c r="E39" s="78"/>
      <c r="F39" s="78"/>
      <c r="G39" s="109"/>
      <c r="H39" s="17"/>
      <c r="I39" s="5" t="str">
        <f t="shared" si="5"/>
        <v/>
      </c>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row>
    <row r="40" spans="1:65" s="46" customFormat="1" ht="30" customHeight="1" thickBot="1" x14ac:dyDescent="0.3">
      <c r="A40" s="13"/>
      <c r="B40" s="79"/>
      <c r="C40" s="80"/>
      <c r="D40" s="81"/>
      <c r="E40" s="82"/>
      <c r="F40" s="82"/>
      <c r="G40" s="82"/>
      <c r="H40" s="17"/>
      <c r="I40" s="5" t="str">
        <f t="shared" si="5"/>
        <v/>
      </c>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c r="BI40" s="45"/>
      <c r="BJ40" s="45"/>
      <c r="BK40" s="45"/>
      <c r="BL40" s="45"/>
      <c r="BM40" s="45"/>
    </row>
    <row r="41" spans="1:65" s="46" customFormat="1" ht="30" customHeight="1" thickBot="1" x14ac:dyDescent="0.3">
      <c r="A41" s="14"/>
      <c r="B41" s="83" t="s">
        <v>0</v>
      </c>
      <c r="C41" s="84"/>
      <c r="D41" s="85"/>
      <c r="E41" s="86"/>
      <c r="F41" s="87"/>
      <c r="G41" s="87"/>
      <c r="H41" s="17"/>
      <c r="I41" s="6" t="str">
        <f t="shared" si="5"/>
        <v/>
      </c>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row>
    <row r="42" spans="1:65" ht="30" customHeight="1" x14ac:dyDescent="0.25">
      <c r="H42" s="3"/>
    </row>
    <row r="43" spans="1:65" ht="30" customHeight="1" x14ac:dyDescent="0.25">
      <c r="C43" s="16"/>
      <c r="F43" s="15"/>
      <c r="G43" s="15"/>
    </row>
    <row r="44" spans="1:65" ht="30" customHeight="1" x14ac:dyDescent="0.25">
      <c r="C44" s="4"/>
    </row>
  </sheetData>
  <mergeCells count="20">
    <mergeCell ref="R1:AA1"/>
    <mergeCell ref="J1:P1"/>
    <mergeCell ref="J2:P2"/>
    <mergeCell ref="G5:G6"/>
    <mergeCell ref="A5:A6"/>
    <mergeCell ref="B5:B6"/>
    <mergeCell ref="C5:C6"/>
    <mergeCell ref="E5:E6"/>
    <mergeCell ref="D5:D6"/>
    <mergeCell ref="B2:C2"/>
    <mergeCell ref="BG4:BM4"/>
    <mergeCell ref="J4:P4"/>
    <mergeCell ref="Q4:W4"/>
    <mergeCell ref="X4:AD4"/>
    <mergeCell ref="AE4:AK4"/>
    <mergeCell ref="AL4:AR4"/>
    <mergeCell ref="AS4:AY4"/>
    <mergeCell ref="AZ4:BF4"/>
    <mergeCell ref="F5:F6"/>
    <mergeCell ref="R2:AA2"/>
  </mergeCells>
  <phoneticPr fontId="33" type="noConversion"/>
  <conditionalFormatting sqref="D7:D41">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J4:BM39">
    <cfRule type="expression" dxfId="8" priority="1">
      <formula>AND(TODAY()&gt;=J$5, TODAY()&lt;K$5)</formula>
    </cfRule>
  </conditionalFormatting>
  <conditionalFormatting sqref="J9:BM13">
    <cfRule type="expression" dxfId="7" priority="6">
      <formula>AND(task_start&lt;=J$5,ROUNDDOWN((task_end-task_start+1)*task_progress,0)+task_start-1&gt;=J$5)</formula>
    </cfRule>
    <cfRule type="expression" dxfId="6" priority="7" stopIfTrue="1">
      <formula>AND(task_end&gt;=J$5,task_start&lt;K$5)</formula>
    </cfRule>
  </conditionalFormatting>
  <conditionalFormatting sqref="J15:BM25">
    <cfRule type="expression" dxfId="5" priority="4">
      <formula>AND(task_start&lt;=J$5,ROUNDDOWN((task_end-task_start+1)*task_progress,0)+task_start-1&gt;=J$5)</formula>
    </cfRule>
    <cfRule type="expression" dxfId="4" priority="5" stopIfTrue="1">
      <formula>AND(task_end&gt;=J$5,task_start&lt;K$5)</formula>
    </cfRule>
  </conditionalFormatting>
  <conditionalFormatting sqref="J27:BM33">
    <cfRule type="expression" dxfId="3" priority="2">
      <formula>AND(task_start&lt;=J$5,ROUNDDOWN((task_end-task_start+1)*task_progress,0)+task_start-1&gt;=J$5)</formula>
    </cfRule>
    <cfRule type="expression" dxfId="2" priority="3" stopIfTrue="1">
      <formula>AND(task_end&gt;=J$5,task_start&lt;K$5)</formula>
    </cfRule>
  </conditionalFormatting>
  <conditionalFormatting sqref="J35:BM39">
    <cfRule type="expression" dxfId="1" priority="36">
      <formula>AND(task_start&lt;=J$5,ROUNDDOWN((task_end-task_start+1)*task_progress,0)+task_start-1&gt;=J$5)</formula>
    </cfRule>
    <cfRule type="expression" dxfId="0" priority="37" stopIfTrue="1">
      <formula>AND(task_end&gt;=J$5,task_start&lt;K$5)</formula>
    </cfRule>
  </conditionalFormatting>
  <dataValidations count="13">
    <dataValidation type="whole" operator="greaterThanOrEqual" allowBlank="1" showInputMessage="1" promptTitle="Display Week" prompt="Changing this number will scroll the Gantt Chart view." sqref="R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6" xr:uid="{956902D1-D3B5-416D-BB69-9362D193BC0A}"/>
    <dataValidation allowBlank="1" showInputMessage="1" showErrorMessage="1" prompt="Phase 4's sample block starts in cell B26." sqref="A34"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41"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E24:F24 E31"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2049" r:id="rId4" name="Scroll Bar 1">
              <controlPr defaultSize="0" autoPict="0">
                <anchor moveWithCells="1">
                  <from>
                    <xdr:col>21</xdr:col>
                    <xdr:colOff>53340</xdr:colOff>
                    <xdr:row>1</xdr:row>
                    <xdr:rowOff>38100</xdr:rowOff>
                  </from>
                  <to>
                    <xdr:col>42</xdr:col>
                    <xdr:colOff>144780</xdr:colOff>
                    <xdr:row>1</xdr:row>
                    <xdr:rowOff>350520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90" t="s">
        <v>8</v>
      </c>
      <c r="B2" s="8"/>
    </row>
    <row r="3" spans="1:2" s="11" customFormat="1" ht="27" customHeight="1" x14ac:dyDescent="0.25">
      <c r="A3" s="91"/>
      <c r="B3" s="12"/>
    </row>
    <row r="4" spans="1:2" s="10" customFormat="1" ht="30" x14ac:dyDescent="0.7">
      <c r="A4" s="92" t="s">
        <v>7</v>
      </c>
    </row>
    <row r="5" spans="1:2" ht="74.25" customHeight="1" x14ac:dyDescent="0.25">
      <c r="A5" s="93" t="s">
        <v>15</v>
      </c>
    </row>
    <row r="6" spans="1:2" ht="26.25" customHeight="1" x14ac:dyDescent="0.25">
      <c r="A6" s="92" t="s">
        <v>18</v>
      </c>
    </row>
    <row r="7" spans="1:2" s="7" customFormat="1" ht="205.05" customHeight="1" x14ac:dyDescent="0.25">
      <c r="A7" s="94" t="s">
        <v>17</v>
      </c>
    </row>
    <row r="8" spans="1:2" s="10" customFormat="1" ht="30" x14ac:dyDescent="0.7">
      <c r="A8" s="92" t="s">
        <v>9</v>
      </c>
    </row>
    <row r="9" spans="1:2" ht="41.4" x14ac:dyDescent="0.25">
      <c r="A9" s="93" t="s">
        <v>16</v>
      </c>
    </row>
    <row r="10" spans="1:2" s="7" customFormat="1" ht="28.05" customHeight="1" x14ac:dyDescent="0.25">
      <c r="A10" s="95" t="s">
        <v>14</v>
      </c>
    </row>
    <row r="11" spans="1:2" s="10" customFormat="1" ht="30" x14ac:dyDescent="0.7">
      <c r="A11" s="92" t="s">
        <v>6</v>
      </c>
    </row>
    <row r="12" spans="1:2" ht="27.6" x14ac:dyDescent="0.25">
      <c r="A12" s="93" t="s">
        <v>13</v>
      </c>
    </row>
    <row r="13" spans="1:2" s="7" customFormat="1" ht="28.05" customHeight="1" x14ac:dyDescent="0.25">
      <c r="A13" s="95" t="s">
        <v>2</v>
      </c>
    </row>
    <row r="14" spans="1:2" s="10" customFormat="1" ht="30" x14ac:dyDescent="0.7">
      <c r="A14" s="92" t="s">
        <v>10</v>
      </c>
    </row>
    <row r="15" spans="1:2" ht="75" customHeight="1" x14ac:dyDescent="0.25">
      <c r="A15" s="93" t="s">
        <v>11</v>
      </c>
    </row>
    <row r="16" spans="1:2" ht="69" x14ac:dyDescent="0.25">
      <c r="A16" s="93" t="s">
        <v>12</v>
      </c>
    </row>
    <row r="17" spans="1:1" x14ac:dyDescent="0.25">
      <c r="A17" s="96"/>
    </row>
    <row r="18" spans="1:1" x14ac:dyDescent="0.25">
      <c r="A18" s="96"/>
    </row>
    <row r="19" spans="1:1" x14ac:dyDescent="0.25">
      <c r="A19" s="96"/>
    </row>
    <row r="20" spans="1:1" x14ac:dyDescent="0.25">
      <c r="A20" s="96"/>
    </row>
    <row r="21" spans="1:1" x14ac:dyDescent="0.25">
      <c r="A21" s="96"/>
    </row>
    <row r="22" spans="1:1" x14ac:dyDescent="0.25">
      <c r="A22" s="96"/>
    </row>
    <row r="23" spans="1:1" x14ac:dyDescent="0.25">
      <c r="A23" s="96"/>
    </row>
    <row r="24" spans="1:1" x14ac:dyDescent="0.25">
      <c r="A24" s="96"/>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Ayushman Sahoo</dc:creator>
  <dc:description/>
  <cp:lastModifiedBy>Ayushman Sahoo</cp:lastModifiedBy>
  <dcterms:created xsi:type="dcterms:W3CDTF">2022-03-11T22:41:12Z</dcterms:created>
  <dcterms:modified xsi:type="dcterms:W3CDTF">2026-09-14T15:06:46Z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